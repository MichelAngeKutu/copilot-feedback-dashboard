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<sst xmlns="http://schemas.openxmlformats.org/spreadsheetml/2006/main" count="222" uniqueCount="76">
  <si>
    <t xml:space="preserve">ResponseID</t>
  </si>
  <si>
    <t xml:space="preserve">Department</t>
  </si>
  <si>
    <t xml:space="preserve">TrialWeek</t>
  </si>
  <si>
    <t xml:space="preserve">ResponseDate</t>
  </si>
  <si>
    <t xml:space="preserve">SatisfactionScore (1-5)</t>
  </si>
  <si>
    <t xml:space="preserve">TimeSavedHrsPerWeek</t>
  </si>
  <si>
    <t xml:space="preserve">AdoptionStatus</t>
  </si>
  <si>
    <t xml:space="preserve">FeedbackTheme</t>
  </si>
  <si>
    <t xml:space="preserve">Comment</t>
  </si>
  <si>
    <t xml:space="preserve">IT</t>
  </si>
  <si>
    <t xml:space="preserve">Trial Only</t>
  </si>
  <si>
    <t xml:space="preserve">Ease of Use</t>
  </si>
  <si>
    <t xml:space="preserve">Easier to use than I expected.</t>
  </si>
  <si>
    <t xml:space="preserve">Time Savings</t>
  </si>
  <si>
    <t xml:space="preserve">Helped me get through routine tasks faster.</t>
  </si>
  <si>
    <t xml:space="preserve">Training Needed</t>
  </si>
  <si>
    <t xml:space="preserve">Would benefit from a short training session.</t>
  </si>
  <si>
    <t xml:space="preserve">HR</t>
  </si>
  <si>
    <t xml:space="preserve">Stopped Using</t>
  </si>
  <si>
    <t xml:space="preserve">Not sure I'm using all the features available.</t>
  </si>
  <si>
    <t xml:space="preserve">Finance</t>
  </si>
  <si>
    <t xml:space="preserve">Took a bit to get used to the interface.</t>
  </si>
  <si>
    <t xml:space="preserve">Integration Issues</t>
  </si>
  <si>
    <t xml:space="preserve">Doesn't always play well with our older systems.</t>
  </si>
  <si>
    <t xml:space="preserve">Cut my email drafting time significantly.</t>
  </si>
  <si>
    <t xml:space="preserve">Accuracy</t>
  </si>
  <si>
    <t xml:space="preserve">Sometimes gives generic answers that need editing.</t>
  </si>
  <si>
    <t xml:space="preserve">Impressed by how relevant the suggestions were.</t>
  </si>
  <si>
    <t xml:space="preserve">Operations</t>
  </si>
  <si>
    <t xml:space="preserve">Using Regularly</t>
  </si>
  <si>
    <t xml:space="preserve">Some hiccups syncing with Teams.</t>
  </si>
  <si>
    <t xml:space="preserve">Worked fine within Outlook and Word.</t>
  </si>
  <si>
    <t xml:space="preserve">Very intuitive once I learned the basic commands.</t>
  </si>
  <si>
    <t xml:space="preserve">Saved real time on weekly report summaries.</t>
  </si>
  <si>
    <t xml:space="preserve">Copilot Trial — Feedback &amp; Adoption Dashboard</t>
  </si>
  <si>
    <t xml:space="preserve">8-week trial · simulated feedback data for demonstration purposes</t>
  </si>
  <si>
    <t xml:space="preserve">Total Responses</t>
  </si>
  <si>
    <t xml:space="preserve">Average Satisfaction (1-5)</t>
  </si>
  <si>
    <t xml:space="preserve">Avg. Time Saved (hrs/wk)</t>
  </si>
  <si>
    <t xml:space="preserve">% Using Regularly</t>
  </si>
  <si>
    <t xml:space="preserve">By Department</t>
  </si>
  <si>
    <t xml:space="preserve">Avg Satisfaction</t>
  </si>
  <si>
    <t xml:space="preserve">Avg Time Saved (hrs/wk)</t>
  </si>
  <si>
    <t xml:space="preserve">Responses</t>
  </si>
  <si>
    <t xml:space="preserve">Weekly Trend</t>
  </si>
  <si>
    <t xml:space="preserve">Trial Week</t>
  </si>
  <si>
    <t xml:space="preserve">Using Regularly (%)</t>
  </si>
  <si>
    <t xml:space="preserve">Feedback Themes</t>
  </si>
  <si>
    <t xml:space="preserve">Theme</t>
  </si>
  <si>
    <t xml:space="preserve">Mentions</t>
  </si>
  <si>
    <t xml:space="preserve">Copilot Trial Feedback &amp; Metrics Dashboard</t>
  </si>
  <si>
    <t xml:space="preserve">What this is:</t>
  </si>
  <si>
    <t xml:space="preserve">A simulated dataset and analysis workbook modeling how a generative AI Copilot</t>
  </si>
  <si>
    <t xml:space="preserve">adoption trial could be evaluated -- collecting user feedback, tracking adoption</t>
  </si>
  <si>
    <t xml:space="preserve">over time, and turning it into metrics a project team could act on.</t>
  </si>
  <si>
    <t xml:space="preserve">Note on the data:</t>
  </si>
  <si>
    <t xml:space="preserve">All responses in the 'Raw Data' sheet are randomly generated for demonstration --</t>
  </si>
  <si>
    <t xml:space="preserve">they do not represent a real trial or real people. The formulas and structure are</t>
  </si>
  <si>
    <t xml:space="preserve">built to work the same way on real survey exports.</t>
  </si>
  <si>
    <t xml:space="preserve">How it maps to a Copilot adoption evaluation role:</t>
  </si>
  <si>
    <t xml:space="preserve">- Raw Data: one row per feedback response (department, week, score, adoption</t>
  </si>
  <si>
    <t xml:space="preserve">  status, theme, comment) -- the kind of export you'd get from Microsoft Forms</t>
  </si>
  <si>
    <t xml:space="preserve">  or a similar survey tool.</t>
  </si>
  <si>
    <t xml:space="preserve">- Dashboard: live formulas (AVERAGEIF, COUNTIF, COUNTIFS) calculate adoption</t>
  </si>
  <si>
    <t xml:space="preserve">  rate, satisfaction by department, and trend over the trial period --</t>
  </si>
  <si>
    <t xml:space="preserve">  everything recalculates automatically if the raw data changes.</t>
  </si>
  <si>
    <t xml:space="preserve">- Feedback Themes: shows how open-text comments can be tagged into categories</t>
  </si>
  <si>
    <t xml:space="preserve">  and counted, to surface recurring issues (e.g. training gaps, integration</t>
  </si>
  <si>
    <t xml:space="preserve">  issues) for the project team to act on.</t>
  </si>
  <si>
    <t xml:space="preserve">How to use / extend it:</t>
  </si>
  <si>
    <t xml:space="preserve">- Replace the Raw Data rows with a real feedback export and the Dashboard</t>
  </si>
  <si>
    <t xml:space="preserve">  updates automatically.</t>
  </si>
  <si>
    <t xml:space="preserve">- Add more weeks by extending the Raw Data table and adjusting the row ranges</t>
  </si>
  <si>
    <t xml:space="preserve">  in the Dashboard formulas.</t>
  </si>
  <si>
    <t xml:space="preserve">- Add more themes or departments as needed -- just extend the relevant table</t>
  </si>
  <si>
    <t xml:space="preserve">  on the Dashboard sheet.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</si>
</sst>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General"/>
    <numFmt numFmtId="167" formatCode="0.0%"/>
    <numFmt numFmtId="168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Satisfaction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Dashboard!C11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Dashboard!$B$12:$B$15</c:f>
              <c:strCache>
                <c:ptCount val="4"/>
                <c:pt idx="0">
                  <c:v>IT</c:v>
                </c:pt>
                <c:pt idx="1">
                  <c:v>Finance</c:v>
                </c:pt>
                <c:pt idx="2">
                  <c:v>HR</c:v>
                </c:pt>
                <c:pt idx="3">
                  <c:v>Operations</c:v>
                </c:pt>
              </c:strCache>
            </c:strRef>
          </c:cat>
          <c:val>
            <c:numRef>
              <c:f>Dashboard!$C$12:$C$15</c:f>
              <c:numCache>
                <c:formatCode>General</c:formatCode>
                <c:ptCount val="4"/>
                <c:pt idx="0">
                  <c:v>3.54</c:v>
                </c:pt>
                <c:pt idx="1">
                  <c:v>3.82</c:v>
                </c:pt>
                <c:pt idx="2">
                  <c:v>3.43</c:v>
                </c:pt>
                <c:pt idx="3">
                  <c:v>4.11</c:v>
                </c:pt>
              </c:numCache>
            </c:numRef>
          </c:val>
        </c:ser>
        <c:gapWidth val="150"/>
        <c:overlap val="0"/>
        <c:axId val="9386590"/>
        <c:axId val="27774967"/>
      </c:barChart>
      <c:catAx>
        <c:axId val="938659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74967"/>
        <c:crosses val="autoZero"/>
        <c:auto val="1"/>
        <c:lblAlgn val="ctr"/>
        <c:lblOffset val="100"/>
        <c:noMultiLvlLbl val="0"/>
      </c:catAx>
      <c:valAx>
        <c:axId val="277749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Satisfaction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865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Satisfaction Trend Over Trial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Dashboard!C18</c:f>
              <c:strCache>
                <c:ptCount val="1"/>
                <c:pt idx="0">
                  <c:v>Avg Satisfaction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Dashboard!$B$19:$B$26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Dashboard!$C$19:$C$26</c:f>
              <c:numCache>
                <c:formatCode>General</c:formatCode>
                <c:ptCount val="8"/>
                <c:pt idx="0">
                  <c:v>3.25</c:v>
                </c:pt>
                <c:pt idx="1">
                  <c:v>2.8</c:v>
                </c:pt>
                <c:pt idx="2">
                  <c:v>3.5</c:v>
                </c:pt>
                <c:pt idx="3">
                  <c:v>3.5</c:v>
                </c:pt>
                <c:pt idx="4">
                  <c:v>4</c:v>
                </c:pt>
                <c:pt idx="5">
                  <c:v>3.8</c:v>
                </c:pt>
                <c:pt idx="6">
                  <c:v>4.33</c:v>
                </c:pt>
                <c:pt idx="7">
                  <c:v>4.5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6204508"/>
        <c:axId val="43871429"/>
      </c:lineChart>
      <c:catAx>
        <c:axId val="462045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Trial 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871429"/>
        <c:crosses val="autoZero"/>
        <c:auto val="1"/>
        <c:lblAlgn val="ctr"/>
        <c:lblOffset val="100"/>
        <c:noMultiLvlLbl val="0"/>
      </c:catAx>
      <c:valAx>
        <c:axId val="438714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Avg Satisfaction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2045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Feedback Themes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Dashboard!C29</c:f>
              <c:strCache>
                <c:ptCount val="1"/>
                <c:pt idx="0">
                  <c:v>Mentions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Dashboard!$B$30:$B$34</c:f>
              <c:strCache>
                <c:ptCount val="5"/>
                <c:pt idx="0">
                  <c:v>Ease of Use</c:v>
                </c:pt>
                <c:pt idx="1">
                  <c:v>Time Savings</c:v>
                </c:pt>
                <c:pt idx="2">
                  <c:v>Accuracy</c:v>
                </c:pt>
                <c:pt idx="3">
                  <c:v>Training Needed</c:v>
                </c:pt>
                <c:pt idx="4">
                  <c:v>Integration Issues</c:v>
                </c:pt>
              </c:strCache>
            </c:strRef>
          </c:cat>
          <c:val>
            <c:numRef>
              <c:f>Dashboard!$C$30:$C$34</c:f>
              <c:numCache>
                <c:formatCode>General</c:formatCode>
                <c:ptCount val="5"/>
                <c:pt idx="0">
                  <c:v>6</c:v>
                </c:pt>
                <c:pt idx="1">
                  <c:v>11</c:v>
                </c:pt>
                <c:pt idx="2">
                  <c:v>8</c:v>
                </c:pt>
                <c:pt idx="3">
                  <c:v>6</c:v>
                </c:pt>
                <c:pt idx="4">
                  <c:v>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160920</xdr:rowOff>
    </xdr:from>
    <xdr:to>
      <xdr:col>14</xdr:col>
      <xdr:colOff>147600</xdr:colOff>
      <xdr:row>18</xdr:row>
      <xdr:rowOff>70560</xdr:rowOff>
    </xdr:to>
    <xdr:graphicFrame>
      <xdr:nvGraphicFramePr>
        <xdr:cNvPr id="0" name="Chart 1"/>
        <xdr:cNvGraphicFramePr/>
      </xdr:nvGraphicFramePr>
      <xdr:xfrm>
        <a:off x="6579720" y="762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19</xdr:row>
      <xdr:rowOff>48240</xdr:rowOff>
    </xdr:from>
    <xdr:to>
      <xdr:col>14</xdr:col>
      <xdr:colOff>147600</xdr:colOff>
      <xdr:row>34</xdr:row>
      <xdr:rowOff>70200</xdr:rowOff>
    </xdr:to>
    <xdr:graphicFrame>
      <xdr:nvGraphicFramePr>
        <xdr:cNvPr id="1" name="Chart 2"/>
        <xdr:cNvGraphicFramePr/>
      </xdr:nvGraphicFramePr>
      <xdr:xfrm>
        <a:off x="6579720" y="380988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35</xdr:row>
      <xdr:rowOff>48240</xdr:rowOff>
    </xdr:from>
    <xdr:to>
      <xdr:col>14</xdr:col>
      <xdr:colOff>147600</xdr:colOff>
      <xdr:row>50</xdr:row>
      <xdr:rowOff>70560</xdr:rowOff>
    </xdr:to>
    <xdr:graphicFrame>
      <xdr:nvGraphicFramePr>
        <xdr:cNvPr id="2" name="Chart 3"/>
        <xdr:cNvGraphicFramePr/>
      </xdr:nvGraphicFramePr>
      <xdr:xfrm>
        <a:off x="6579720" y="685800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4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n">
        <v>1</v>
      </c>
      <c r="D2" s="3" t="n">
        <v>46213</v>
      </c>
      <c r="E2" s="2" t="n">
        <v>3</v>
      </c>
      <c r="F2" s="2" t="n">
        <v>2.2</v>
      </c>
      <c r="G2" s="2" t="s">
        <v>10</v>
      </c>
      <c r="H2" s="2" t="s">
        <v>11</v>
      </c>
      <c r="I2" s="2" t="s">
        <v>12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n">
        <v>1</v>
      </c>
      <c r="D3" s="3" t="n">
        <v>46213</v>
      </c>
      <c r="E3" s="2" t="n">
        <v>3</v>
      </c>
      <c r="F3" s="2" t="n">
        <v>1.7</v>
      </c>
      <c r="G3" s="2" t="s">
        <v>10</v>
      </c>
      <c r="H3" s="2" t="s">
        <v>13</v>
      </c>
      <c r="I3" s="2" t="s">
        <v>14</v>
      </c>
    </row>
    <row r="4" customFormat="false" ht="15" hidden="false" customHeight="false" outlineLevel="0" collapsed="false">
      <c r="A4" s="2" t="n">
        <v>3</v>
      </c>
      <c r="B4" s="2" t="s">
        <v>9</v>
      </c>
      <c r="C4" s="2" t="n">
        <v>1</v>
      </c>
      <c r="D4" s="3" t="n">
        <v>46212</v>
      </c>
      <c r="E4" s="2" t="n">
        <v>3</v>
      </c>
      <c r="F4" s="2" t="n">
        <v>0.1</v>
      </c>
      <c r="G4" s="2" t="s">
        <v>10</v>
      </c>
      <c r="H4" s="2" t="s">
        <v>15</v>
      </c>
      <c r="I4" s="2" t="s">
        <v>16</v>
      </c>
    </row>
    <row r="5" customFormat="false" ht="15" hidden="false" customHeight="false" outlineLevel="0" collapsed="false">
      <c r="A5" s="2" t="n">
        <v>4</v>
      </c>
      <c r="B5" s="2" t="s">
        <v>17</v>
      </c>
      <c r="C5" s="2" t="n">
        <v>1</v>
      </c>
      <c r="D5" s="3" t="n">
        <v>46211</v>
      </c>
      <c r="E5" s="2" t="n">
        <v>4</v>
      </c>
      <c r="F5" s="2" t="n">
        <v>1.7</v>
      </c>
      <c r="G5" s="2" t="s">
        <v>18</v>
      </c>
      <c r="H5" s="2" t="s">
        <v>15</v>
      </c>
      <c r="I5" s="2" t="s">
        <v>19</v>
      </c>
    </row>
    <row r="6" customFormat="false" ht="15" hidden="false" customHeight="false" outlineLevel="0" collapsed="false">
      <c r="A6" s="2" t="n">
        <v>5</v>
      </c>
      <c r="B6" s="2" t="s">
        <v>20</v>
      </c>
      <c r="C6" s="2" t="n">
        <v>2</v>
      </c>
      <c r="D6" s="3" t="n">
        <v>46218</v>
      </c>
      <c r="E6" s="2" t="n">
        <v>3</v>
      </c>
      <c r="F6" s="2" t="n">
        <v>2.2</v>
      </c>
      <c r="G6" s="2" t="s">
        <v>18</v>
      </c>
      <c r="H6" s="2" t="s">
        <v>11</v>
      </c>
      <c r="I6" s="2" t="s">
        <v>21</v>
      </c>
    </row>
    <row r="7" customFormat="false" ht="15" hidden="false" customHeight="false" outlineLevel="0" collapsed="false">
      <c r="A7" s="2" t="n">
        <v>6</v>
      </c>
      <c r="B7" s="2" t="s">
        <v>17</v>
      </c>
      <c r="C7" s="2" t="n">
        <v>2</v>
      </c>
      <c r="D7" s="3" t="n">
        <v>46220</v>
      </c>
      <c r="E7" s="2" t="n">
        <v>3</v>
      </c>
      <c r="F7" s="2" t="n">
        <v>0.6</v>
      </c>
      <c r="G7" s="2" t="s">
        <v>18</v>
      </c>
      <c r="H7" s="2" t="s">
        <v>15</v>
      </c>
      <c r="I7" s="2" t="s">
        <v>16</v>
      </c>
    </row>
    <row r="8" customFormat="false" ht="15" hidden="false" customHeight="false" outlineLevel="0" collapsed="false">
      <c r="A8" s="2" t="n">
        <v>7</v>
      </c>
      <c r="B8" s="2" t="s">
        <v>17</v>
      </c>
      <c r="C8" s="2" t="n">
        <v>2</v>
      </c>
      <c r="D8" s="3" t="n">
        <v>46216</v>
      </c>
      <c r="E8" s="2" t="n">
        <v>2</v>
      </c>
      <c r="F8" s="2" t="n">
        <v>0.5</v>
      </c>
      <c r="G8" s="2" t="s">
        <v>18</v>
      </c>
      <c r="H8" s="2" t="s">
        <v>22</v>
      </c>
      <c r="I8" s="2" t="s">
        <v>23</v>
      </c>
    </row>
    <row r="9" customFormat="false" ht="15" hidden="false" customHeight="false" outlineLevel="0" collapsed="false">
      <c r="A9" s="2" t="n">
        <v>8</v>
      </c>
      <c r="B9" s="2" t="s">
        <v>9</v>
      </c>
      <c r="C9" s="2" t="n">
        <v>2</v>
      </c>
      <c r="D9" s="3" t="n">
        <v>46219</v>
      </c>
      <c r="E9" s="2" t="n">
        <v>3</v>
      </c>
      <c r="F9" s="2" t="n">
        <v>0</v>
      </c>
      <c r="G9" s="2" t="s">
        <v>10</v>
      </c>
      <c r="H9" s="2" t="s">
        <v>13</v>
      </c>
      <c r="I9" s="2" t="s">
        <v>24</v>
      </c>
    </row>
    <row r="10" customFormat="false" ht="15" hidden="false" customHeight="false" outlineLevel="0" collapsed="false">
      <c r="A10" s="2" t="n">
        <v>9</v>
      </c>
      <c r="B10" s="2" t="s">
        <v>17</v>
      </c>
      <c r="C10" s="2" t="n">
        <v>2</v>
      </c>
      <c r="D10" s="3" t="n">
        <v>46218</v>
      </c>
      <c r="E10" s="2" t="n">
        <v>3</v>
      </c>
      <c r="F10" s="2" t="n">
        <v>1.3</v>
      </c>
      <c r="G10" s="2" t="s">
        <v>10</v>
      </c>
      <c r="H10" s="2" t="s">
        <v>25</v>
      </c>
      <c r="I10" s="2" t="s">
        <v>26</v>
      </c>
    </row>
    <row r="11" customFormat="false" ht="15" hidden="false" customHeight="false" outlineLevel="0" collapsed="false">
      <c r="A11" s="2" t="n">
        <v>10</v>
      </c>
      <c r="B11" s="2" t="s">
        <v>20</v>
      </c>
      <c r="C11" s="2" t="n">
        <v>3</v>
      </c>
      <c r="D11" s="3" t="n">
        <v>46227</v>
      </c>
      <c r="E11" s="2" t="n">
        <v>3</v>
      </c>
      <c r="F11" s="2" t="n">
        <v>3.1</v>
      </c>
      <c r="G11" s="2" t="s">
        <v>10</v>
      </c>
      <c r="H11" s="2" t="s">
        <v>25</v>
      </c>
      <c r="I11" s="2" t="s">
        <v>27</v>
      </c>
    </row>
    <row r="12" customFormat="false" ht="15" hidden="false" customHeight="false" outlineLevel="0" collapsed="false">
      <c r="A12" s="2" t="n">
        <v>11</v>
      </c>
      <c r="B12" s="2" t="s">
        <v>20</v>
      </c>
      <c r="C12" s="2" t="n">
        <v>3</v>
      </c>
      <c r="D12" s="3" t="n">
        <v>46225</v>
      </c>
      <c r="E12" s="2" t="n">
        <v>4</v>
      </c>
      <c r="F12" s="2" t="n">
        <v>0.5</v>
      </c>
      <c r="G12" s="2" t="s">
        <v>10</v>
      </c>
      <c r="H12" s="2" t="s">
        <v>13</v>
      </c>
      <c r="I12" s="2" t="s">
        <v>24</v>
      </c>
    </row>
    <row r="13" customFormat="false" ht="15" hidden="false" customHeight="false" outlineLevel="0" collapsed="false">
      <c r="A13" s="2" t="n">
        <v>12</v>
      </c>
      <c r="B13" s="2" t="s">
        <v>28</v>
      </c>
      <c r="C13" s="2" t="n">
        <v>3</v>
      </c>
      <c r="D13" s="3" t="n">
        <v>46226</v>
      </c>
      <c r="E13" s="2" t="n">
        <v>4</v>
      </c>
      <c r="F13" s="2" t="n">
        <v>4.3</v>
      </c>
      <c r="G13" s="2" t="s">
        <v>29</v>
      </c>
      <c r="H13" s="2" t="s">
        <v>25</v>
      </c>
      <c r="I13" s="2" t="s">
        <v>26</v>
      </c>
    </row>
    <row r="14" customFormat="false" ht="15" hidden="false" customHeight="false" outlineLevel="0" collapsed="false">
      <c r="A14" s="2" t="n">
        <v>13</v>
      </c>
      <c r="B14" s="2" t="s">
        <v>28</v>
      </c>
      <c r="C14" s="2" t="n">
        <v>3</v>
      </c>
      <c r="D14" s="3" t="n">
        <v>46227</v>
      </c>
      <c r="E14" s="2" t="n">
        <v>3</v>
      </c>
      <c r="F14" s="2" t="n">
        <v>1.5</v>
      </c>
      <c r="G14" s="2" t="s">
        <v>18</v>
      </c>
      <c r="H14" s="2" t="s">
        <v>13</v>
      </c>
      <c r="I14" s="2" t="s">
        <v>24</v>
      </c>
    </row>
    <row r="15" customFormat="false" ht="15" hidden="false" customHeight="false" outlineLevel="0" collapsed="false">
      <c r="A15" s="2" t="n">
        <v>14</v>
      </c>
      <c r="B15" s="2" t="s">
        <v>28</v>
      </c>
      <c r="C15" s="2" t="n">
        <v>4</v>
      </c>
      <c r="D15" s="3" t="n">
        <v>46233</v>
      </c>
      <c r="E15" s="2" t="n">
        <v>3</v>
      </c>
      <c r="F15" s="2" t="n">
        <v>2.5</v>
      </c>
      <c r="G15" s="2" t="s">
        <v>18</v>
      </c>
      <c r="H15" s="2" t="s">
        <v>13</v>
      </c>
      <c r="I15" s="2" t="s">
        <v>14</v>
      </c>
    </row>
    <row r="16" customFormat="false" ht="15" hidden="false" customHeight="false" outlineLevel="0" collapsed="false">
      <c r="A16" s="2" t="n">
        <v>15</v>
      </c>
      <c r="B16" s="2" t="s">
        <v>9</v>
      </c>
      <c r="C16" s="2" t="n">
        <v>4</v>
      </c>
      <c r="D16" s="3" t="n">
        <v>46233</v>
      </c>
      <c r="E16" s="2" t="n">
        <v>4</v>
      </c>
      <c r="F16" s="2" t="n">
        <v>1.7</v>
      </c>
      <c r="G16" s="2" t="s">
        <v>10</v>
      </c>
      <c r="H16" s="2" t="s">
        <v>13</v>
      </c>
      <c r="I16" s="2" t="s">
        <v>14</v>
      </c>
    </row>
    <row r="17" customFormat="false" ht="15" hidden="false" customHeight="false" outlineLevel="0" collapsed="false">
      <c r="A17" s="2" t="n">
        <v>16</v>
      </c>
      <c r="B17" s="2" t="s">
        <v>9</v>
      </c>
      <c r="C17" s="2" t="n">
        <v>4</v>
      </c>
      <c r="D17" s="3" t="n">
        <v>46230</v>
      </c>
      <c r="E17" s="2" t="n">
        <v>3</v>
      </c>
      <c r="F17" s="2" t="n">
        <v>1.5</v>
      </c>
      <c r="G17" s="2" t="s">
        <v>29</v>
      </c>
      <c r="H17" s="2" t="s">
        <v>25</v>
      </c>
      <c r="I17" s="2" t="s">
        <v>27</v>
      </c>
    </row>
    <row r="18" customFormat="false" ht="15" hidden="false" customHeight="false" outlineLevel="0" collapsed="false">
      <c r="A18" s="2" t="n">
        <v>17</v>
      </c>
      <c r="B18" s="2" t="s">
        <v>9</v>
      </c>
      <c r="C18" s="2" t="n">
        <v>4</v>
      </c>
      <c r="D18" s="3" t="n">
        <v>46232</v>
      </c>
      <c r="E18" s="2" t="n">
        <v>3</v>
      </c>
      <c r="F18" s="2" t="n">
        <v>1.9</v>
      </c>
      <c r="G18" s="2" t="s">
        <v>10</v>
      </c>
      <c r="H18" s="2" t="s">
        <v>25</v>
      </c>
      <c r="I18" s="2" t="s">
        <v>26</v>
      </c>
    </row>
    <row r="19" customFormat="false" ht="15" hidden="false" customHeight="false" outlineLevel="0" collapsed="false">
      <c r="A19" s="2" t="n">
        <v>18</v>
      </c>
      <c r="B19" s="2" t="s">
        <v>28</v>
      </c>
      <c r="C19" s="2" t="n">
        <v>4</v>
      </c>
      <c r="D19" s="3" t="n">
        <v>46231</v>
      </c>
      <c r="E19" s="2" t="n">
        <v>5</v>
      </c>
      <c r="F19" s="2" t="n">
        <v>2.1</v>
      </c>
      <c r="G19" s="2" t="s">
        <v>29</v>
      </c>
      <c r="H19" s="2" t="s">
        <v>25</v>
      </c>
      <c r="I19" s="2" t="s">
        <v>27</v>
      </c>
    </row>
    <row r="20" customFormat="false" ht="15" hidden="false" customHeight="false" outlineLevel="0" collapsed="false">
      <c r="A20" s="2" t="n">
        <v>19</v>
      </c>
      <c r="B20" s="2" t="s">
        <v>9</v>
      </c>
      <c r="C20" s="2" t="n">
        <v>4</v>
      </c>
      <c r="D20" s="3" t="n">
        <v>46231</v>
      </c>
      <c r="E20" s="2" t="n">
        <v>3</v>
      </c>
      <c r="F20" s="2" t="n">
        <v>3.5</v>
      </c>
      <c r="G20" s="2" t="s">
        <v>18</v>
      </c>
      <c r="H20" s="2" t="s">
        <v>22</v>
      </c>
      <c r="I20" s="2" t="s">
        <v>23</v>
      </c>
    </row>
    <row r="21" customFormat="false" ht="15" hidden="false" customHeight="false" outlineLevel="0" collapsed="false">
      <c r="A21" s="2" t="n">
        <v>20</v>
      </c>
      <c r="B21" s="2" t="s">
        <v>20</v>
      </c>
      <c r="C21" s="2" t="n">
        <v>5</v>
      </c>
      <c r="D21" s="3" t="n">
        <v>46239</v>
      </c>
      <c r="E21" s="2" t="n">
        <v>4</v>
      </c>
      <c r="F21" s="2" t="n">
        <v>1</v>
      </c>
      <c r="G21" s="2" t="s">
        <v>10</v>
      </c>
      <c r="H21" s="2" t="s">
        <v>11</v>
      </c>
      <c r="I21" s="2" t="s">
        <v>12</v>
      </c>
    </row>
    <row r="22" customFormat="false" ht="15" hidden="false" customHeight="false" outlineLevel="0" collapsed="false">
      <c r="A22" s="2" t="n">
        <v>21</v>
      </c>
      <c r="B22" s="2" t="s">
        <v>28</v>
      </c>
      <c r="C22" s="2" t="n">
        <v>5</v>
      </c>
      <c r="D22" s="3" t="n">
        <v>46237</v>
      </c>
      <c r="E22" s="2" t="n">
        <v>5</v>
      </c>
      <c r="F22" s="2" t="n">
        <v>1.4</v>
      </c>
      <c r="G22" s="2" t="s">
        <v>29</v>
      </c>
      <c r="H22" s="2" t="s">
        <v>25</v>
      </c>
      <c r="I22" s="2" t="s">
        <v>26</v>
      </c>
    </row>
    <row r="23" customFormat="false" ht="15" hidden="false" customHeight="false" outlineLevel="0" collapsed="false">
      <c r="A23" s="2" t="n">
        <v>22</v>
      </c>
      <c r="B23" s="2" t="s">
        <v>20</v>
      </c>
      <c r="C23" s="2" t="n">
        <v>5</v>
      </c>
      <c r="D23" s="3" t="n">
        <v>46241</v>
      </c>
      <c r="E23" s="2" t="n">
        <v>4</v>
      </c>
      <c r="F23" s="2" t="n">
        <v>2.1</v>
      </c>
      <c r="G23" s="2" t="s">
        <v>18</v>
      </c>
      <c r="H23" s="2" t="s">
        <v>15</v>
      </c>
      <c r="I23" s="2" t="s">
        <v>16</v>
      </c>
    </row>
    <row r="24" customFormat="false" ht="15" hidden="false" customHeight="false" outlineLevel="0" collapsed="false">
      <c r="A24" s="2" t="n">
        <v>23</v>
      </c>
      <c r="B24" s="2" t="s">
        <v>20</v>
      </c>
      <c r="C24" s="2" t="n">
        <v>5</v>
      </c>
      <c r="D24" s="3" t="n">
        <v>46241</v>
      </c>
      <c r="E24" s="2" t="n">
        <v>3</v>
      </c>
      <c r="F24" s="2" t="n">
        <v>2.4</v>
      </c>
      <c r="G24" s="2" t="s">
        <v>29</v>
      </c>
      <c r="H24" s="2" t="s">
        <v>25</v>
      </c>
      <c r="I24" s="2" t="s">
        <v>27</v>
      </c>
    </row>
    <row r="25" customFormat="false" ht="15" hidden="false" customHeight="false" outlineLevel="0" collapsed="false">
      <c r="A25" s="2" t="n">
        <v>24</v>
      </c>
      <c r="B25" s="2" t="s">
        <v>28</v>
      </c>
      <c r="C25" s="2" t="n">
        <v>5</v>
      </c>
      <c r="D25" s="3" t="n">
        <v>46239</v>
      </c>
      <c r="E25" s="2" t="n">
        <v>5</v>
      </c>
      <c r="F25" s="2" t="n">
        <v>1.5</v>
      </c>
      <c r="G25" s="2" t="s">
        <v>18</v>
      </c>
      <c r="H25" s="2" t="s">
        <v>13</v>
      </c>
      <c r="I25" s="2" t="s">
        <v>14</v>
      </c>
    </row>
    <row r="26" customFormat="false" ht="15" hidden="false" customHeight="false" outlineLevel="0" collapsed="false">
      <c r="A26" s="2" t="n">
        <v>25</v>
      </c>
      <c r="B26" s="2" t="s">
        <v>28</v>
      </c>
      <c r="C26" s="2" t="n">
        <v>5</v>
      </c>
      <c r="D26" s="3" t="n">
        <v>46237</v>
      </c>
      <c r="E26" s="2" t="n">
        <v>3</v>
      </c>
      <c r="F26" s="2" t="n">
        <v>1.4</v>
      </c>
      <c r="G26" s="2" t="s">
        <v>18</v>
      </c>
      <c r="H26" s="2" t="s">
        <v>22</v>
      </c>
      <c r="I26" s="2" t="s">
        <v>30</v>
      </c>
    </row>
    <row r="27" customFormat="false" ht="15" hidden="false" customHeight="false" outlineLevel="0" collapsed="false">
      <c r="A27" s="2" t="n">
        <v>26</v>
      </c>
      <c r="B27" s="2" t="s">
        <v>20</v>
      </c>
      <c r="C27" s="2" t="n">
        <v>6</v>
      </c>
      <c r="D27" s="3" t="n">
        <v>46244</v>
      </c>
      <c r="E27" s="2" t="n">
        <v>5</v>
      </c>
      <c r="F27" s="2" t="n">
        <v>2.6</v>
      </c>
      <c r="G27" s="2" t="s">
        <v>29</v>
      </c>
      <c r="H27" s="2" t="s">
        <v>22</v>
      </c>
      <c r="I27" s="2" t="s">
        <v>23</v>
      </c>
    </row>
    <row r="28" customFormat="false" ht="15" hidden="false" customHeight="false" outlineLevel="0" collapsed="false">
      <c r="A28" s="2" t="n">
        <v>27</v>
      </c>
      <c r="B28" s="2" t="s">
        <v>9</v>
      </c>
      <c r="C28" s="2" t="n">
        <v>6</v>
      </c>
      <c r="D28" s="3" t="n">
        <v>46244</v>
      </c>
      <c r="E28" s="2" t="n">
        <v>4</v>
      </c>
      <c r="F28" s="2" t="n">
        <v>2.5</v>
      </c>
      <c r="G28" s="2" t="s">
        <v>10</v>
      </c>
      <c r="H28" s="2" t="s">
        <v>11</v>
      </c>
      <c r="I28" s="2" t="s">
        <v>21</v>
      </c>
    </row>
    <row r="29" customFormat="false" ht="15" hidden="false" customHeight="false" outlineLevel="0" collapsed="false">
      <c r="A29" s="2" t="n">
        <v>28</v>
      </c>
      <c r="B29" s="2" t="s">
        <v>20</v>
      </c>
      <c r="C29" s="2" t="n">
        <v>6</v>
      </c>
      <c r="D29" s="3" t="n">
        <v>46247</v>
      </c>
      <c r="E29" s="2" t="n">
        <v>3</v>
      </c>
      <c r="F29" s="2" t="n">
        <v>2.5</v>
      </c>
      <c r="G29" s="2" t="s">
        <v>29</v>
      </c>
      <c r="H29" s="2" t="s">
        <v>22</v>
      </c>
      <c r="I29" s="2" t="s">
        <v>31</v>
      </c>
    </row>
    <row r="30" customFormat="false" ht="15" hidden="false" customHeight="false" outlineLevel="0" collapsed="false">
      <c r="A30" s="2" t="n">
        <v>29</v>
      </c>
      <c r="B30" s="2" t="s">
        <v>20</v>
      </c>
      <c r="C30" s="2" t="n">
        <v>6</v>
      </c>
      <c r="D30" s="3" t="n">
        <v>46247</v>
      </c>
      <c r="E30" s="2" t="n">
        <v>4</v>
      </c>
      <c r="F30" s="2" t="n">
        <v>1.8</v>
      </c>
      <c r="G30" s="2" t="s">
        <v>10</v>
      </c>
      <c r="H30" s="2" t="s">
        <v>11</v>
      </c>
      <c r="I30" s="2" t="s">
        <v>12</v>
      </c>
    </row>
    <row r="31" customFormat="false" ht="15" hidden="false" customHeight="false" outlineLevel="0" collapsed="false">
      <c r="A31" s="2" t="n">
        <v>30</v>
      </c>
      <c r="B31" s="2" t="s">
        <v>17</v>
      </c>
      <c r="C31" s="2" t="n">
        <v>6</v>
      </c>
      <c r="D31" s="3" t="n">
        <v>46247</v>
      </c>
      <c r="E31" s="2" t="n">
        <v>3</v>
      </c>
      <c r="F31" s="2" t="n">
        <v>2.7</v>
      </c>
      <c r="G31" s="2" t="s">
        <v>29</v>
      </c>
      <c r="H31" s="2" t="s">
        <v>11</v>
      </c>
      <c r="I31" s="2" t="s">
        <v>32</v>
      </c>
    </row>
    <row r="32" customFormat="false" ht="15" hidden="false" customHeight="false" outlineLevel="0" collapsed="false">
      <c r="A32" s="2" t="n">
        <v>31</v>
      </c>
      <c r="B32" s="2" t="s">
        <v>9</v>
      </c>
      <c r="C32" s="2" t="n">
        <v>7</v>
      </c>
      <c r="D32" s="3" t="n">
        <v>46253</v>
      </c>
      <c r="E32" s="2" t="n">
        <v>4</v>
      </c>
      <c r="F32" s="2" t="n">
        <v>3.6</v>
      </c>
      <c r="G32" s="2" t="s">
        <v>29</v>
      </c>
      <c r="H32" s="2" t="s">
        <v>15</v>
      </c>
      <c r="I32" s="2" t="s">
        <v>16</v>
      </c>
    </row>
    <row r="33" customFormat="false" ht="15" hidden="false" customHeight="false" outlineLevel="0" collapsed="false">
      <c r="A33" s="2" t="n">
        <v>32</v>
      </c>
      <c r="B33" s="2" t="s">
        <v>28</v>
      </c>
      <c r="C33" s="2" t="n">
        <v>7</v>
      </c>
      <c r="D33" s="3" t="n">
        <v>46251</v>
      </c>
      <c r="E33" s="2" t="n">
        <v>5</v>
      </c>
      <c r="F33" s="2" t="n">
        <v>2</v>
      </c>
      <c r="G33" s="2" t="s">
        <v>29</v>
      </c>
      <c r="H33" s="2" t="s">
        <v>22</v>
      </c>
      <c r="I33" s="2" t="s">
        <v>23</v>
      </c>
    </row>
    <row r="34" customFormat="false" ht="15" hidden="false" customHeight="false" outlineLevel="0" collapsed="false">
      <c r="A34" s="2" t="n">
        <v>33</v>
      </c>
      <c r="B34" s="2" t="s">
        <v>9</v>
      </c>
      <c r="C34" s="2" t="n">
        <v>7</v>
      </c>
      <c r="D34" s="3" t="n">
        <v>46254</v>
      </c>
      <c r="E34" s="2" t="n">
        <v>5</v>
      </c>
      <c r="F34" s="2" t="n">
        <v>1.7</v>
      </c>
      <c r="G34" s="2" t="s">
        <v>18</v>
      </c>
      <c r="H34" s="2" t="s">
        <v>13</v>
      </c>
      <c r="I34" s="2" t="s">
        <v>33</v>
      </c>
    </row>
    <row r="35" customFormat="false" ht="15" hidden="false" customHeight="false" outlineLevel="0" collapsed="false">
      <c r="A35" s="2" t="n">
        <v>34</v>
      </c>
      <c r="B35" s="2" t="s">
        <v>28</v>
      </c>
      <c r="C35" s="2" t="n">
        <v>7</v>
      </c>
      <c r="D35" s="3" t="n">
        <v>46254</v>
      </c>
      <c r="E35" s="2" t="n">
        <v>4</v>
      </c>
      <c r="F35" s="2" t="n">
        <v>2.8</v>
      </c>
      <c r="G35" s="2" t="s">
        <v>29</v>
      </c>
      <c r="H35" s="2" t="s">
        <v>15</v>
      </c>
      <c r="I35" s="2" t="s">
        <v>16</v>
      </c>
    </row>
    <row r="36" customFormat="false" ht="15" hidden="false" customHeight="false" outlineLevel="0" collapsed="false">
      <c r="A36" s="2" t="n">
        <v>35</v>
      </c>
      <c r="B36" s="2" t="s">
        <v>17</v>
      </c>
      <c r="C36" s="2" t="n">
        <v>7</v>
      </c>
      <c r="D36" s="3" t="n">
        <v>46254</v>
      </c>
      <c r="E36" s="2" t="n">
        <v>4</v>
      </c>
      <c r="F36" s="2" t="n">
        <v>1.8</v>
      </c>
      <c r="G36" s="2" t="s">
        <v>18</v>
      </c>
      <c r="H36" s="2" t="s">
        <v>22</v>
      </c>
      <c r="I36" s="2" t="s">
        <v>31</v>
      </c>
    </row>
    <row r="37" customFormat="false" ht="15" hidden="false" customHeight="false" outlineLevel="0" collapsed="false">
      <c r="A37" s="2" t="n">
        <v>36</v>
      </c>
      <c r="B37" s="2" t="s">
        <v>20</v>
      </c>
      <c r="C37" s="2" t="n">
        <v>7</v>
      </c>
      <c r="D37" s="3" t="n">
        <v>46253</v>
      </c>
      <c r="E37" s="2" t="n">
        <v>4</v>
      </c>
      <c r="F37" s="2" t="n">
        <v>2.9</v>
      </c>
      <c r="G37" s="2" t="s">
        <v>29</v>
      </c>
      <c r="H37" s="2" t="s">
        <v>22</v>
      </c>
      <c r="I37" s="2" t="s">
        <v>23</v>
      </c>
    </row>
    <row r="38" customFormat="false" ht="15" hidden="false" customHeight="false" outlineLevel="0" collapsed="false">
      <c r="A38" s="2" t="n">
        <v>37</v>
      </c>
      <c r="B38" s="2" t="s">
        <v>9</v>
      </c>
      <c r="C38" s="2" t="n">
        <v>8</v>
      </c>
      <c r="D38" s="3" t="n">
        <v>46262</v>
      </c>
      <c r="E38" s="2" t="n">
        <v>3</v>
      </c>
      <c r="F38" s="2" t="n">
        <v>2.7</v>
      </c>
      <c r="G38" s="2" t="s">
        <v>29</v>
      </c>
      <c r="H38" s="2" t="s">
        <v>13</v>
      </c>
      <c r="I38" s="2" t="s">
        <v>24</v>
      </c>
    </row>
    <row r="39" customFormat="false" ht="15" hidden="false" customHeight="false" outlineLevel="0" collapsed="false">
      <c r="A39" s="2" t="n">
        <v>38</v>
      </c>
      <c r="B39" s="2" t="s">
        <v>9</v>
      </c>
      <c r="C39" s="2" t="n">
        <v>8</v>
      </c>
      <c r="D39" s="3" t="n">
        <v>46258</v>
      </c>
      <c r="E39" s="2" t="n">
        <v>5</v>
      </c>
      <c r="F39" s="2" t="n">
        <v>2.9</v>
      </c>
      <c r="G39" s="2" t="s">
        <v>10</v>
      </c>
      <c r="H39" s="2" t="s">
        <v>13</v>
      </c>
      <c r="I39" s="2" t="s">
        <v>33</v>
      </c>
    </row>
    <row r="40" customFormat="false" ht="15" hidden="false" customHeight="false" outlineLevel="0" collapsed="false">
      <c r="A40" s="2" t="n">
        <v>39</v>
      </c>
      <c r="B40" s="2" t="s">
        <v>20</v>
      </c>
      <c r="C40" s="2" t="n">
        <v>8</v>
      </c>
      <c r="D40" s="3" t="n">
        <v>46262</v>
      </c>
      <c r="E40" s="2" t="n">
        <v>5</v>
      </c>
      <c r="F40" s="2" t="n">
        <v>2.8</v>
      </c>
      <c r="G40" s="2" t="s">
        <v>29</v>
      </c>
      <c r="H40" s="2" t="s">
        <v>22</v>
      </c>
      <c r="I40" s="2" t="s">
        <v>31</v>
      </c>
    </row>
    <row r="41" customFormat="false" ht="15" hidden="false" customHeight="false" outlineLevel="0" collapsed="false">
      <c r="A41" s="2" t="n">
        <v>40</v>
      </c>
      <c r="B41" s="2" t="s">
        <v>17</v>
      </c>
      <c r="C41" s="2" t="n">
        <v>8</v>
      </c>
      <c r="D41" s="3" t="n">
        <v>46261</v>
      </c>
      <c r="E41" s="2" t="n">
        <v>5</v>
      </c>
      <c r="F41" s="2" t="n">
        <v>4.2</v>
      </c>
      <c r="G41" s="2" t="s">
        <v>18</v>
      </c>
      <c r="H41" s="2" t="s">
        <v>13</v>
      </c>
      <c r="I41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</cols>
  <sheetData>
    <row r="2" customFormat="false" ht="17.35" hidden="false" customHeight="false" outlineLevel="0" collapsed="false">
      <c r="B2" s="4" t="s">
        <v>34</v>
      </c>
    </row>
    <row r="3" customFormat="false" ht="15" hidden="false" customHeight="false" outlineLevel="0" collapsed="false">
      <c r="B3" s="5" t="s">
        <v>35</v>
      </c>
    </row>
    <row r="5" customFormat="false" ht="23.85" hidden="false" customHeight="true" outlineLevel="0" collapsed="false">
      <c r="B5" s="6" t="s">
        <v>36</v>
      </c>
      <c r="C5" s="6"/>
      <c r="D5" s="6" t="s">
        <v>37</v>
      </c>
      <c r="E5" s="6"/>
      <c r="F5" s="6" t="s">
        <v>38</v>
      </c>
      <c r="G5" s="6"/>
      <c r="H5" s="6" t="s">
        <v>39</v>
      </c>
      <c r="I5" s="6"/>
    </row>
    <row r="6" customFormat="false" ht="15" hidden="false" customHeight="false" outlineLevel="0" collapsed="false">
      <c r="B6" s="7" t="n">
        <f aca="false">COUNTA('Raw Data'!A2:A41)</f>
        <v>40</v>
      </c>
      <c r="C6" s="7"/>
      <c r="D6" s="7" t="n">
        <f aca="false">ROUND(AVERAGE('Raw Data'!E2:E41),2)</f>
        <v>3.73</v>
      </c>
      <c r="E6" s="7"/>
      <c r="F6" s="7" t="n">
        <f aca="false">ROUND(AVERAGE('Raw Data'!F2:F41),2)</f>
        <v>2.06</v>
      </c>
      <c r="G6" s="7"/>
      <c r="H6" s="8" t="n">
        <f aca="false">ROUND(COUNTIF('Raw Data'!G2:G41,"Using Regularly")/COUNTA('Raw Data'!G2:G41),3)</f>
        <v>0.35</v>
      </c>
      <c r="I6" s="8"/>
    </row>
    <row r="7" customFormat="false" ht="15" hidden="false" customHeight="false" outlineLevel="0" collapsed="false">
      <c r="B7" s="7"/>
      <c r="C7" s="7"/>
      <c r="D7" s="7"/>
      <c r="E7" s="7"/>
      <c r="F7" s="7"/>
      <c r="G7" s="7"/>
      <c r="H7" s="8"/>
      <c r="I7" s="8"/>
    </row>
    <row r="10" customFormat="false" ht="15" hidden="false" customHeight="false" outlineLevel="0" collapsed="false">
      <c r="B10" s="9" t="s">
        <v>40</v>
      </c>
    </row>
    <row r="11" customFormat="false" ht="15" hidden="false" customHeight="false" outlineLevel="0" collapsed="false">
      <c r="B11" s="10" t="s">
        <v>1</v>
      </c>
      <c r="C11" s="10" t="s">
        <v>41</v>
      </c>
      <c r="D11" s="10" t="s">
        <v>42</v>
      </c>
      <c r="E11" s="10" t="s">
        <v>43</v>
      </c>
    </row>
    <row r="12" customFormat="false" ht="15" hidden="false" customHeight="false" outlineLevel="0" collapsed="false">
      <c r="B12" s="2" t="s">
        <v>9</v>
      </c>
      <c r="C12" s="2" t="n">
        <f aca="false">ROUND(AVERAGEIF('Raw Data'!$B$2:$B$41,$B12,'Raw Data'!$E$2:$E$41),2)</f>
        <v>3.54</v>
      </c>
      <c r="D12" s="2" t="n">
        <f aca="false">ROUND(AVERAGEIF('Raw Data'!$B$2:$B$41,$B12,'Raw Data'!$F$2:$F$41),2)</f>
        <v>2</v>
      </c>
      <c r="E12" s="2" t="n">
        <f aca="false">COUNTIF('Raw Data'!$B$2:$B$41,$B12)</f>
        <v>13</v>
      </c>
    </row>
    <row r="13" customFormat="false" ht="15" hidden="false" customHeight="false" outlineLevel="0" collapsed="false">
      <c r="B13" s="2" t="s">
        <v>20</v>
      </c>
      <c r="C13" s="2" t="n">
        <f aca="false">ROUND(AVERAGEIF('Raw Data'!$B$2:$B$41,$B13,'Raw Data'!$E$2:$E$41),2)</f>
        <v>3.82</v>
      </c>
      <c r="D13" s="2" t="n">
        <f aca="false">ROUND(AVERAGEIF('Raw Data'!$B$2:$B$41,$B13,'Raw Data'!$F$2:$F$41),2)</f>
        <v>2.17</v>
      </c>
      <c r="E13" s="2" t="n">
        <f aca="false">COUNTIF('Raw Data'!$B$2:$B$41,$B13)</f>
        <v>11</v>
      </c>
    </row>
    <row r="14" customFormat="false" ht="15" hidden="false" customHeight="false" outlineLevel="0" collapsed="false">
      <c r="B14" s="2" t="s">
        <v>17</v>
      </c>
      <c r="C14" s="2" t="n">
        <f aca="false">ROUND(AVERAGEIF('Raw Data'!$B$2:$B$41,$B14,'Raw Data'!$E$2:$E$41),2)</f>
        <v>3.43</v>
      </c>
      <c r="D14" s="2" t="n">
        <f aca="false">ROUND(AVERAGEIF('Raw Data'!$B$2:$B$41,$B14,'Raw Data'!$F$2:$F$41),2)</f>
        <v>1.83</v>
      </c>
      <c r="E14" s="2" t="n">
        <f aca="false">COUNTIF('Raw Data'!$B$2:$B$41,$B14)</f>
        <v>7</v>
      </c>
    </row>
    <row r="15" customFormat="false" ht="15" hidden="false" customHeight="false" outlineLevel="0" collapsed="false">
      <c r="B15" s="2" t="s">
        <v>28</v>
      </c>
      <c r="C15" s="2" t="n">
        <f aca="false">ROUND(AVERAGEIF('Raw Data'!$B$2:$B$41,$B15,'Raw Data'!$E$2:$E$41),2)</f>
        <v>4.11</v>
      </c>
      <c r="D15" s="2" t="n">
        <f aca="false">ROUND(AVERAGEIF('Raw Data'!$B$2:$B$41,$B15,'Raw Data'!$F$2:$F$41),2)</f>
        <v>2.17</v>
      </c>
      <c r="E15" s="2" t="n">
        <f aca="false">COUNTIF('Raw Data'!$B$2:$B$41,$B15)</f>
        <v>9</v>
      </c>
    </row>
    <row r="17" customFormat="false" ht="15" hidden="false" customHeight="false" outlineLevel="0" collapsed="false">
      <c r="B17" s="9" t="s">
        <v>44</v>
      </c>
    </row>
    <row r="18" customFormat="false" ht="15" hidden="false" customHeight="false" outlineLevel="0" collapsed="false">
      <c r="B18" s="10" t="s">
        <v>45</v>
      </c>
      <c r="C18" s="10" t="s">
        <v>41</v>
      </c>
      <c r="D18" s="10" t="s">
        <v>46</v>
      </c>
    </row>
    <row r="19" customFormat="false" ht="15" hidden="false" customHeight="false" outlineLevel="0" collapsed="false">
      <c r="B19" s="2" t="n">
        <v>1</v>
      </c>
      <c r="C19" s="2" t="n">
        <f aca="false">ROUND(AVERAGEIF('Raw Data'!$C$2:$C$41,$B19,'Raw Data'!$E$2:$E$41),2)</f>
        <v>3.25</v>
      </c>
      <c r="D19" s="11" t="n">
        <f aca="false">ROUND(COUNTIFS('Raw Data'!$C$2:$C$41,$B19,'Raw Data'!$G$2:$G$41,"Using Regularly")/COUNTIF('Raw Data'!$C$2:$C$41,$B19),3)</f>
        <v>0</v>
      </c>
    </row>
    <row r="20" customFormat="false" ht="15" hidden="false" customHeight="false" outlineLevel="0" collapsed="false">
      <c r="B20" s="2" t="n">
        <v>2</v>
      </c>
      <c r="C20" s="2" t="n">
        <f aca="false">ROUND(AVERAGEIF('Raw Data'!$C$2:$C$41,$B20,'Raw Data'!$E$2:$E$41),2)</f>
        <v>2.8</v>
      </c>
      <c r="D20" s="11" t="n">
        <f aca="false">ROUND(COUNTIFS('Raw Data'!$C$2:$C$41,$B20,'Raw Data'!$G$2:$G$41,"Using Regularly")/COUNTIF('Raw Data'!$C$2:$C$41,$B20),3)</f>
        <v>0</v>
      </c>
    </row>
    <row r="21" customFormat="false" ht="15" hidden="false" customHeight="false" outlineLevel="0" collapsed="false">
      <c r="B21" s="2" t="n">
        <v>3</v>
      </c>
      <c r="C21" s="2" t="n">
        <f aca="false">ROUND(AVERAGEIF('Raw Data'!$C$2:$C$41,$B21,'Raw Data'!$E$2:$E$41),2)</f>
        <v>3.5</v>
      </c>
      <c r="D21" s="11" t="n">
        <f aca="false">ROUND(COUNTIFS('Raw Data'!$C$2:$C$41,$B21,'Raw Data'!$G$2:$G$41,"Using Regularly")/COUNTIF('Raw Data'!$C$2:$C$41,$B21),3)</f>
        <v>0.25</v>
      </c>
    </row>
    <row r="22" customFormat="false" ht="15" hidden="false" customHeight="false" outlineLevel="0" collapsed="false">
      <c r="B22" s="2" t="n">
        <v>4</v>
      </c>
      <c r="C22" s="2" t="n">
        <f aca="false">ROUND(AVERAGEIF('Raw Data'!$C$2:$C$41,$B22,'Raw Data'!$E$2:$E$41),2)</f>
        <v>3.5</v>
      </c>
      <c r="D22" s="11" t="n">
        <f aca="false">ROUND(COUNTIFS('Raw Data'!$C$2:$C$41,$B22,'Raw Data'!$G$2:$G$41,"Using Regularly")/COUNTIF('Raw Data'!$C$2:$C$41,$B22),3)</f>
        <v>0.333</v>
      </c>
    </row>
    <row r="23" customFormat="false" ht="15" hidden="false" customHeight="false" outlineLevel="0" collapsed="false">
      <c r="B23" s="2" t="n">
        <v>5</v>
      </c>
      <c r="C23" s="2" t="n">
        <f aca="false">ROUND(AVERAGEIF('Raw Data'!$C$2:$C$41,$B23,'Raw Data'!$E$2:$E$41),2)</f>
        <v>4</v>
      </c>
      <c r="D23" s="11" t="n">
        <f aca="false">ROUND(COUNTIFS('Raw Data'!$C$2:$C$41,$B23,'Raw Data'!$G$2:$G$41,"Using Regularly")/COUNTIF('Raw Data'!$C$2:$C$41,$B23),3)</f>
        <v>0.333</v>
      </c>
    </row>
    <row r="24" customFormat="false" ht="15" hidden="false" customHeight="false" outlineLevel="0" collapsed="false">
      <c r="B24" s="2" t="n">
        <v>6</v>
      </c>
      <c r="C24" s="2" t="n">
        <f aca="false">ROUND(AVERAGEIF('Raw Data'!$C$2:$C$41,$B24,'Raw Data'!$E$2:$E$41),2)</f>
        <v>3.8</v>
      </c>
      <c r="D24" s="11" t="n">
        <f aca="false">ROUND(COUNTIFS('Raw Data'!$C$2:$C$41,$B24,'Raw Data'!$G$2:$G$41,"Using Regularly")/COUNTIF('Raw Data'!$C$2:$C$41,$B24),3)</f>
        <v>0.6</v>
      </c>
    </row>
    <row r="25" customFormat="false" ht="15" hidden="false" customHeight="false" outlineLevel="0" collapsed="false">
      <c r="B25" s="2" t="n">
        <v>7</v>
      </c>
      <c r="C25" s="2" t="n">
        <f aca="false">ROUND(AVERAGEIF('Raw Data'!$C$2:$C$41,$B25,'Raw Data'!$E$2:$E$41),2)</f>
        <v>4.33</v>
      </c>
      <c r="D25" s="11" t="n">
        <f aca="false">ROUND(COUNTIFS('Raw Data'!$C$2:$C$41,$B25,'Raw Data'!$G$2:$G$41,"Using Regularly")/COUNTIF('Raw Data'!$C$2:$C$41,$B25),3)</f>
        <v>0.667</v>
      </c>
    </row>
    <row r="26" customFormat="false" ht="15" hidden="false" customHeight="false" outlineLevel="0" collapsed="false">
      <c r="B26" s="2" t="n">
        <v>8</v>
      </c>
      <c r="C26" s="2" t="n">
        <f aca="false">ROUND(AVERAGEIF('Raw Data'!$C$2:$C$41,$B26,'Raw Data'!$E$2:$E$41),2)</f>
        <v>4.5</v>
      </c>
      <c r="D26" s="11" t="n">
        <f aca="false">ROUND(COUNTIFS('Raw Data'!$C$2:$C$41,$B26,'Raw Data'!$G$2:$G$41,"Using Regularly")/COUNTIF('Raw Data'!$C$2:$C$41,$B26),3)</f>
        <v>0.5</v>
      </c>
    </row>
    <row r="28" customFormat="false" ht="15" hidden="false" customHeight="false" outlineLevel="0" collapsed="false">
      <c r="B28" s="9" t="s">
        <v>47</v>
      </c>
    </row>
    <row r="29" customFormat="false" ht="15" hidden="false" customHeight="false" outlineLevel="0" collapsed="false">
      <c r="B29" s="10" t="s">
        <v>48</v>
      </c>
      <c r="C29" s="10" t="s">
        <v>49</v>
      </c>
    </row>
    <row r="30" customFormat="false" ht="15" hidden="false" customHeight="false" outlineLevel="0" collapsed="false">
      <c r="B30" s="2" t="s">
        <v>11</v>
      </c>
      <c r="C30" s="2" t="n">
        <f aca="false">COUNTIF('Raw Data'!$H$2:$H$41,$B30)</f>
        <v>6</v>
      </c>
    </row>
    <row r="31" customFormat="false" ht="15" hidden="false" customHeight="false" outlineLevel="0" collapsed="false">
      <c r="B31" s="2" t="s">
        <v>13</v>
      </c>
      <c r="C31" s="2" t="n">
        <f aca="false">COUNTIF('Raw Data'!$H$2:$H$41,$B31)</f>
        <v>11</v>
      </c>
    </row>
    <row r="32" customFormat="false" ht="15" hidden="false" customHeight="false" outlineLevel="0" collapsed="false">
      <c r="B32" s="2" t="s">
        <v>25</v>
      </c>
      <c r="C32" s="2" t="n">
        <f aca="false">COUNTIF('Raw Data'!$H$2:$H$41,$B32)</f>
        <v>8</v>
      </c>
    </row>
    <row r="33" customFormat="false" ht="15" hidden="false" customHeight="false" outlineLevel="0" collapsed="false">
      <c r="B33" s="2" t="s">
        <v>15</v>
      </c>
      <c r="C33" s="2" t="n">
        <f aca="false">COUNTIF('Raw Data'!$H$2:$H$41,$B33)</f>
        <v>6</v>
      </c>
    </row>
    <row r="34" customFormat="false" ht="15" hidden="false" customHeight="false" outlineLevel="0" collapsed="false">
      <c r="B34" s="2" t="s">
        <v>22</v>
      </c>
      <c r="C34" s="2" t="n">
        <f aca="false">COUNTIF('Raw Data'!$H$2:$H$41,$B34)</f>
        <v>9</v>
      </c>
    </row>
  </sheetData>
  <mergeCells count="8"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0"/>
  </cols>
  <sheetData>
    <row r="2" customFormat="false" ht="17.35" hidden="false" customHeight="false" outlineLevel="0" collapsed="false">
      <c r="B2" s="4" t="s">
        <v>50</v>
      </c>
    </row>
    <row r="3" customFormat="false" ht="15" hidden="false" customHeight="false" outlineLevel="0" collapsed="false">
      <c r="B3" s="12"/>
    </row>
    <row r="4" customFormat="false" ht="15" hidden="false" customHeight="false" outlineLevel="0" collapsed="false">
      <c r="B4" s="9" t="s">
        <v>51</v>
      </c>
    </row>
    <row r="5" customFormat="false" ht="15" hidden="false" customHeight="false" outlineLevel="0" collapsed="false">
      <c r="B5" s="12" t="s">
        <v>52</v>
      </c>
    </row>
    <row r="6" customFormat="false" ht="15" hidden="false" customHeight="false" outlineLevel="0" collapsed="false">
      <c r="B6" s="12" t="s">
        <v>53</v>
      </c>
    </row>
    <row r="7" customFormat="false" ht="15" hidden="false" customHeight="false" outlineLevel="0" collapsed="false">
      <c r="B7" s="12" t="s">
        <v>54</v>
      </c>
    </row>
    <row r="8" customFormat="false" ht="15" hidden="false" customHeight="false" outlineLevel="0" collapsed="false">
      <c r="B8" s="12"/>
    </row>
    <row r="9" customFormat="false" ht="15" hidden="false" customHeight="false" outlineLevel="0" collapsed="false">
      <c r="B9" s="9" t="s">
        <v>55</v>
      </c>
    </row>
    <row r="10" customFormat="false" ht="15" hidden="false" customHeight="false" outlineLevel="0" collapsed="false">
      <c r="B10" s="12" t="s">
        <v>56</v>
      </c>
    </row>
    <row r="11" customFormat="false" ht="15" hidden="false" customHeight="false" outlineLevel="0" collapsed="false">
      <c r="B11" s="12" t="s">
        <v>57</v>
      </c>
    </row>
    <row r="12" customFormat="false" ht="15" hidden="false" customHeight="false" outlineLevel="0" collapsed="false">
      <c r="B12" s="12" t="s">
        <v>58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9" t="s">
        <v>59</v>
      </c>
    </row>
    <row r="15" customFormat="false" ht="15" hidden="false" customHeight="false" outlineLevel="0" collapsed="false">
      <c r="B15" s="12" t="s">
        <v>60</v>
      </c>
    </row>
    <row r="16" customFormat="false" ht="15" hidden="false" customHeight="false" outlineLevel="0" collapsed="false">
      <c r="B16" s="12" t="s">
        <v>61</v>
      </c>
    </row>
    <row r="17" customFormat="false" ht="15" hidden="false" customHeight="false" outlineLevel="0" collapsed="false">
      <c r="B17" s="12" t="s">
        <v>62</v>
      </c>
    </row>
    <row r="18" customFormat="false" ht="15" hidden="false" customHeight="false" outlineLevel="0" collapsed="false">
      <c r="B18" s="12" t="s">
        <v>63</v>
      </c>
    </row>
    <row r="19" customFormat="false" ht="15" hidden="false" customHeight="false" outlineLevel="0" collapsed="false">
      <c r="B19" s="12" t="s">
        <v>64</v>
      </c>
    </row>
    <row r="20" customFormat="false" ht="15" hidden="false" customHeight="false" outlineLevel="0" collapsed="false">
      <c r="B20" s="12" t="s">
        <v>65</v>
      </c>
    </row>
    <row r="21" customFormat="false" ht="15" hidden="false" customHeight="false" outlineLevel="0" collapsed="false">
      <c r="B21" s="12" t="s">
        <v>66</v>
      </c>
    </row>
    <row r="22" customFormat="false" ht="15" hidden="false" customHeight="false" outlineLevel="0" collapsed="false">
      <c r="B22" s="12" t="s">
        <v>67</v>
      </c>
    </row>
    <row r="23" customFormat="false" ht="15" hidden="false" customHeight="false" outlineLevel="0" collapsed="false">
      <c r="B23" s="12" t="s">
        <v>68</v>
      </c>
    </row>
    <row r="24" customFormat="false" ht="15" hidden="false" customHeight="false" outlineLevel="0" collapsed="false">
      <c r="B24" s="12"/>
    </row>
    <row r="25" customFormat="false" ht="15" hidden="false" customHeight="false" outlineLevel="0" collapsed="false">
      <c r="B25" s="9" t="s">
        <v>69</v>
      </c>
    </row>
    <row r="26" customFormat="false" ht="15" hidden="false" customHeight="false" outlineLevel="0" collapsed="false">
      <c r="B26" s="12" t="s">
        <v>70</v>
      </c>
    </row>
    <row r="27" customFormat="false" ht="15" hidden="false" customHeight="false" outlineLevel="0" collapsed="false">
      <c r="B27" s="12" t="s">
        <v>71</v>
      </c>
    </row>
    <row r="28" customFormat="false" ht="15" hidden="false" customHeight="false" outlineLevel="0" collapsed="false">
      <c r="B28" s="12" t="s">
        <v>72</v>
      </c>
    </row>
    <row r="29" customFormat="false" ht="15" hidden="false" customHeight="false" outlineLevel="0" collapsed="false">
      <c r="B29" s="12" t="s">
        <v>73</v>
      </c>
    </row>
    <row r="30" customFormat="false" ht="15" hidden="false" customHeight="false" outlineLevel="0" collapsed="false">
      <c r="B30" s="12" t="s">
        <v>74</v>
      </c>
    </row>
    <row r="31" customFormat="false" ht="15" hidden="false" customHeight="false" outlineLevel="0" collapsed="false">
      <c r="B31" s="1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2026-09-30T02:05:34Z</dcterms:created>
  <dc:creator>openpyxl</dc:creator>
  <dc:description/>
  <dc:language>en-US</dc:language>
  <cp:lastModifiedBy/>
  <dcterms:modified xsi:type="dcterms:W3CDTF">2026-09-30T02:05:38Z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